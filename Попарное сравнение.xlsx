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dim\Desktop\Наука\август\"/>
    </mc:Choice>
  </mc:AlternateContent>
  <bookViews>
    <workbookView xWindow="0" yWindow="0" windowWidth="21600" windowHeight="99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" i="1" l="1"/>
  <c r="V3" i="1"/>
  <c r="Q2" i="1"/>
  <c r="R2" i="1" s="1"/>
  <c r="Q5" i="1"/>
  <c r="R5" i="1" s="1"/>
  <c r="Q4" i="1"/>
  <c r="R4" i="1" s="1"/>
  <c r="Q3" i="1"/>
  <c r="R3" i="1" s="1"/>
  <c r="L3" i="1"/>
  <c r="L4" i="1"/>
  <c r="L2" i="1"/>
  <c r="J4" i="1"/>
  <c r="J3" i="1"/>
  <c r="J2" i="1"/>
  <c r="E15" i="1"/>
  <c r="E20" i="1" s="1"/>
  <c r="B21" i="1" l="1"/>
  <c r="B20" i="1"/>
  <c r="C21" i="1"/>
  <c r="C18" i="1"/>
  <c r="D18" i="1"/>
  <c r="B19" i="1"/>
  <c r="E19" i="1"/>
  <c r="E18" i="1"/>
  <c r="D19" i="1"/>
  <c r="C20" i="1"/>
  <c r="D21" i="1"/>
  <c r="R6" i="1"/>
  <c r="V4" i="1" s="1"/>
  <c r="C26" i="1" l="1"/>
  <c r="B26" i="1"/>
  <c r="F26" i="1" s="1"/>
  <c r="D26" i="1"/>
  <c r="E26" i="1"/>
  <c r="C27" i="1" l="1"/>
  <c r="D27" i="1"/>
  <c r="E27" i="1"/>
  <c r="B27" i="1"/>
  <c r="J26" i="1" l="1"/>
  <c r="H26" i="1"/>
  <c r="E28" i="1"/>
  <c r="D28" i="1"/>
  <c r="C28" i="1"/>
  <c r="K26" i="1"/>
  <c r="I26" i="1"/>
  <c r="B28" i="1"/>
  <c r="F27" i="1"/>
  <c r="L26" i="1" l="1"/>
  <c r="F28" i="1"/>
  <c r="C29" i="1" s="1"/>
  <c r="I29" i="1" l="1"/>
  <c r="E29" i="1"/>
  <c r="D29" i="1"/>
  <c r="B29" i="1"/>
  <c r="C30" i="1" l="1"/>
  <c r="D30" i="1"/>
  <c r="E30" i="1"/>
  <c r="H29" i="1"/>
  <c r="F29" i="1"/>
  <c r="J29" i="1"/>
  <c r="K29" i="1"/>
  <c r="B30" i="1"/>
  <c r="F30" i="1" l="1"/>
  <c r="B31" i="1"/>
  <c r="L29" i="1"/>
  <c r="E31" i="1"/>
  <c r="D31" i="1"/>
  <c r="C31" i="1"/>
  <c r="B32" i="1" l="1"/>
  <c r="I31" i="1"/>
  <c r="J31" i="1"/>
  <c r="K31" i="1"/>
  <c r="F31" i="1"/>
  <c r="E32" i="1"/>
  <c r="D32" i="1"/>
  <c r="C32" i="1"/>
  <c r="H31" i="1"/>
  <c r="L31" i="1" s="1"/>
  <c r="F32" i="1" l="1"/>
  <c r="C33" i="1" s="1"/>
  <c r="I33" i="1" l="1"/>
  <c r="B33" i="1"/>
  <c r="E33" i="1"/>
  <c r="K33" i="1" s="1"/>
  <c r="D33" i="1"/>
  <c r="J33" i="1" s="1"/>
  <c r="F33" i="1" l="1"/>
  <c r="C34" i="1"/>
  <c r="E34" i="1"/>
  <c r="D34" i="1"/>
  <c r="H33" i="1"/>
  <c r="L33" i="1" s="1"/>
  <c r="B34" i="1"/>
  <c r="F34" i="1" l="1"/>
  <c r="B35" i="1" s="1"/>
  <c r="E35" i="1"/>
  <c r="K35" i="1" s="1"/>
  <c r="D35" i="1"/>
  <c r="J35" i="1" s="1"/>
  <c r="C35" i="1"/>
  <c r="F35" i="1" l="1"/>
  <c r="C36" i="1"/>
  <c r="E36" i="1"/>
  <c r="D36" i="1"/>
  <c r="H35" i="1"/>
  <c r="B36" i="1"/>
  <c r="I35" i="1"/>
  <c r="L35" i="1" l="1"/>
  <c r="F36" i="1"/>
  <c r="E37" i="1" s="1"/>
  <c r="K37" i="1" s="1"/>
  <c r="J37" i="1"/>
  <c r="D37" i="1"/>
  <c r="C37" i="1"/>
  <c r="B37" i="1" l="1"/>
  <c r="B38" i="1"/>
  <c r="I37" i="1"/>
  <c r="F37" i="1" l="1"/>
  <c r="D38" i="1"/>
  <c r="E38" i="1"/>
  <c r="C38" i="1"/>
  <c r="H37" i="1"/>
  <c r="L37" i="1" s="1"/>
  <c r="F38" i="1" l="1"/>
  <c r="B39" i="1" s="1"/>
  <c r="D39" i="1" l="1"/>
  <c r="H39" i="1"/>
  <c r="C39" i="1"/>
  <c r="E39" i="1"/>
  <c r="K39" i="1" s="1"/>
  <c r="B40" i="1" l="1"/>
  <c r="I39" i="1"/>
  <c r="E40" i="1"/>
  <c r="C40" i="1"/>
  <c r="D40" i="1"/>
  <c r="F39" i="1"/>
  <c r="J39" i="1"/>
  <c r="L39" i="1" s="1"/>
  <c r="F40" i="1" l="1"/>
  <c r="C41" i="1" s="1"/>
  <c r="I41" i="1" l="1"/>
  <c r="B41" i="1"/>
  <c r="E41" i="1"/>
  <c r="K41" i="1" s="1"/>
  <c r="D41" i="1"/>
  <c r="J41" i="1" s="1"/>
  <c r="F41" i="1" l="1"/>
  <c r="D42" i="1"/>
  <c r="C42" i="1"/>
  <c r="E42" i="1"/>
  <c r="H41" i="1"/>
  <c r="L41" i="1" s="1"/>
  <c r="B42" i="1"/>
  <c r="F42" i="1" l="1"/>
  <c r="B43" i="1" s="1"/>
  <c r="E43" i="1"/>
  <c r="K43" i="1" s="1"/>
  <c r="C43" i="1"/>
  <c r="D43" i="1"/>
  <c r="J43" i="1" s="1"/>
  <c r="F43" i="1" l="1"/>
  <c r="C44" i="1"/>
  <c r="E44" i="1"/>
  <c r="D44" i="1"/>
  <c r="H43" i="1"/>
  <c r="B44" i="1"/>
  <c r="I43" i="1"/>
  <c r="F44" i="1" l="1"/>
  <c r="B45" i="1" s="1"/>
  <c r="E45" i="1"/>
  <c r="K45" i="1" s="1"/>
  <c r="L43" i="1"/>
  <c r="D45" i="1"/>
  <c r="J45" i="1" s="1"/>
  <c r="C45" i="1"/>
  <c r="F45" i="1" l="1"/>
  <c r="C46" i="1"/>
  <c r="E46" i="1"/>
  <c r="D46" i="1"/>
  <c r="H45" i="1"/>
  <c r="B46" i="1"/>
  <c r="I45" i="1"/>
  <c r="F46" i="1" l="1"/>
  <c r="B47" i="1" s="1"/>
  <c r="L45" i="1"/>
  <c r="D47" i="1"/>
  <c r="C53" i="1" s="1"/>
  <c r="E47" i="1"/>
  <c r="C54" i="1" s="1"/>
  <c r="C47" i="1"/>
  <c r="C51" i="1" l="1"/>
  <c r="F47" i="1"/>
  <c r="H47" i="1"/>
  <c r="C52" i="1"/>
  <c r="I47" i="1"/>
  <c r="K47" i="1"/>
  <c r="J47" i="1"/>
  <c r="L47" i="1" l="1"/>
</calcChain>
</file>

<file path=xl/sharedStrings.xml><?xml version="1.0" encoding="utf-8"?>
<sst xmlns="http://schemas.openxmlformats.org/spreadsheetml/2006/main" count="60" uniqueCount="29">
  <si>
    <t>1. Выбираем пары, удовлетворяющие критерию отбора. Составляем матрицу</t>
  </si>
  <si>
    <t>P=</t>
  </si>
  <si>
    <t>Инженер</t>
  </si>
  <si>
    <t>Архитектор</t>
  </si>
  <si>
    <t>Врач</t>
  </si>
  <si>
    <t>Пилот</t>
  </si>
  <si>
    <t>-</t>
  </si>
  <si>
    <t>Т=</t>
  </si>
  <si>
    <t>2. Проверяем условие согласованности матрицы</t>
  </si>
  <si>
    <t>Все суммы равны 1, матрица согласована.</t>
  </si>
  <si>
    <t>3. Вычисляем количество триад С</t>
  </si>
  <si>
    <t>ИАВ=</t>
  </si>
  <si>
    <t>ИВП=</t>
  </si>
  <si>
    <t>ИАП=</t>
  </si>
  <si>
    <t>АВП=</t>
  </si>
  <si>
    <t>С=</t>
  </si>
  <si>
    <t>четное</t>
  </si>
  <si>
    <t>С_max=</t>
  </si>
  <si>
    <t>n=</t>
  </si>
  <si>
    <t>4. Вычисляем С_max и коэффициент конкордации</t>
  </si>
  <si>
    <t>ξ=</t>
  </si>
  <si>
    <t>5. Для каждой выбранной пары фиксируем время</t>
  </si>
  <si>
    <t xml:space="preserve">6. Вычисляем общее время </t>
  </si>
  <si>
    <t>7. Составляем матрицу, учитывая время</t>
  </si>
  <si>
    <t xml:space="preserve">8. </t>
  </si>
  <si>
    <t>&lt;0,001</t>
  </si>
  <si>
    <t>%</t>
  </si>
  <si>
    <t>9. Результат итераций</t>
  </si>
  <si>
    <t xml:space="preserve">10. Итоговый рейтинг групп с точностью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</si>
</sst>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tabSelected="1" workbookViewId="0">
      <selection activeCell="K57" sqref="K57"/>
    </sheetView>
  </sheetViews>
  <sheetFormatPr defaultRowHeight="14.5" x14ac:dyDescent="0.35"/>
  <cols>
    <col min="3" max="3" width="10.81640625" bestFit="1" customWidth="1"/>
    <col min="6" max="6" width="10.81640625" bestFit="1" customWidth="1"/>
  </cols>
  <sheetData>
    <row r="1" spans="1:23" x14ac:dyDescent="0.35">
      <c r="A1" t="s">
        <v>0</v>
      </c>
      <c r="J1" t="s">
        <v>8</v>
      </c>
      <c r="P1" t="s">
        <v>10</v>
      </c>
      <c r="U1" t="s">
        <v>19</v>
      </c>
    </row>
    <row r="2" spans="1:23" x14ac:dyDescent="0.35">
      <c r="B2" t="s">
        <v>2</v>
      </c>
      <c r="C2" t="s">
        <v>3</v>
      </c>
      <c r="D2" t="s">
        <v>4</v>
      </c>
      <c r="E2" t="s">
        <v>5</v>
      </c>
      <c r="J2">
        <f>B4+C3</f>
        <v>1</v>
      </c>
      <c r="L2">
        <f>C5+D4</f>
        <v>1</v>
      </c>
      <c r="P2" t="s">
        <v>11</v>
      </c>
      <c r="Q2">
        <f>C3+D4+B5</f>
        <v>1</v>
      </c>
      <c r="R2">
        <f>IF(OR(Q2=1,Q2=2),0,1)</f>
        <v>0</v>
      </c>
      <c r="U2" t="s">
        <v>18</v>
      </c>
      <c r="V2">
        <v>4</v>
      </c>
      <c r="W2" t="s">
        <v>16</v>
      </c>
    </row>
    <row r="3" spans="1:23" x14ac:dyDescent="0.35">
      <c r="B3" t="s">
        <v>6</v>
      </c>
      <c r="C3">
        <v>1</v>
      </c>
      <c r="D3">
        <v>1</v>
      </c>
      <c r="E3">
        <v>1</v>
      </c>
      <c r="F3" t="s">
        <v>2</v>
      </c>
      <c r="J3">
        <f>B5+D3</f>
        <v>1</v>
      </c>
      <c r="L3">
        <f>C6+E4</f>
        <v>1</v>
      </c>
      <c r="P3" t="s">
        <v>12</v>
      </c>
      <c r="Q3">
        <f>D3+E5+B6</f>
        <v>2</v>
      </c>
      <c r="R3">
        <f t="shared" ref="R3:R5" si="0">IF(OR(Q3=1,Q3=2),0,1)</f>
        <v>0</v>
      </c>
      <c r="U3" t="s">
        <v>17</v>
      </c>
      <c r="V3">
        <f>V2*(V2*V2-4)/24</f>
        <v>2</v>
      </c>
    </row>
    <row r="4" spans="1:23" x14ac:dyDescent="0.35">
      <c r="B4">
        <v>0</v>
      </c>
      <c r="C4" t="s">
        <v>6</v>
      </c>
      <c r="D4">
        <v>0</v>
      </c>
      <c r="E4">
        <v>0</v>
      </c>
      <c r="F4" t="s">
        <v>3</v>
      </c>
      <c r="J4">
        <f>B6+E3</f>
        <v>1</v>
      </c>
      <c r="L4">
        <f>D6+E5</f>
        <v>1</v>
      </c>
      <c r="P4" t="s">
        <v>13</v>
      </c>
      <c r="Q4">
        <f>C3+E4+B6</f>
        <v>1</v>
      </c>
      <c r="R4">
        <f t="shared" si="0"/>
        <v>0</v>
      </c>
      <c r="U4" s="1" t="s">
        <v>20</v>
      </c>
      <c r="V4">
        <f>1-R6/V3</f>
        <v>1</v>
      </c>
    </row>
    <row r="5" spans="1:23" x14ac:dyDescent="0.35">
      <c r="A5" t="s">
        <v>1</v>
      </c>
      <c r="B5">
        <v>0</v>
      </c>
      <c r="C5">
        <v>1</v>
      </c>
      <c r="D5" t="s">
        <v>6</v>
      </c>
      <c r="E5">
        <v>1</v>
      </c>
      <c r="F5" t="s">
        <v>4</v>
      </c>
      <c r="J5" t="s">
        <v>9</v>
      </c>
      <c r="P5" t="s">
        <v>14</v>
      </c>
      <c r="Q5">
        <f>D4+E5+C6</f>
        <v>2</v>
      </c>
      <c r="R5">
        <f t="shared" si="0"/>
        <v>0</v>
      </c>
    </row>
    <row r="6" spans="1:23" x14ac:dyDescent="0.35">
      <c r="B6">
        <v>0</v>
      </c>
      <c r="C6">
        <v>1</v>
      </c>
      <c r="D6">
        <v>0</v>
      </c>
      <c r="E6" t="s">
        <v>6</v>
      </c>
      <c r="F6" t="s">
        <v>5</v>
      </c>
      <c r="Q6" t="s">
        <v>15</v>
      </c>
      <c r="R6">
        <f>SUM(R2:R5)</f>
        <v>0</v>
      </c>
    </row>
    <row r="8" spans="1:23" x14ac:dyDescent="0.35">
      <c r="A8" t="s">
        <v>21</v>
      </c>
    </row>
    <row r="10" spans="1:23" x14ac:dyDescent="0.35">
      <c r="B10" t="s">
        <v>6</v>
      </c>
      <c r="C10">
        <v>2694</v>
      </c>
      <c r="D10">
        <v>390</v>
      </c>
      <c r="E10">
        <v>1227</v>
      </c>
    </row>
    <row r="11" spans="1:23" x14ac:dyDescent="0.35">
      <c r="B11">
        <v>2217</v>
      </c>
      <c r="C11" t="s">
        <v>6</v>
      </c>
      <c r="D11">
        <v>2400</v>
      </c>
      <c r="E11">
        <v>2514</v>
      </c>
    </row>
    <row r="12" spans="1:23" x14ac:dyDescent="0.35">
      <c r="B12">
        <v>1238</v>
      </c>
      <c r="C12">
        <v>2549</v>
      </c>
      <c r="D12" t="s">
        <v>6</v>
      </c>
      <c r="E12">
        <v>1730</v>
      </c>
    </row>
    <row r="13" spans="1:23" x14ac:dyDescent="0.35">
      <c r="B13">
        <v>1456</v>
      </c>
      <c r="C13">
        <v>2492</v>
      </c>
      <c r="D13">
        <v>2217</v>
      </c>
      <c r="E13" t="s">
        <v>6</v>
      </c>
    </row>
    <row r="15" spans="1:23" x14ac:dyDescent="0.35">
      <c r="A15" t="s">
        <v>22</v>
      </c>
      <c r="D15" t="s">
        <v>7</v>
      </c>
      <c r="E15">
        <f>SUM(B10:E13)</f>
        <v>23124</v>
      </c>
    </row>
    <row r="17" spans="1:12" x14ac:dyDescent="0.35">
      <c r="A17" t="s">
        <v>23</v>
      </c>
    </row>
    <row r="18" spans="1:12" x14ac:dyDescent="0.35">
      <c r="B18" t="s">
        <v>6</v>
      </c>
      <c r="C18">
        <f>C3*(1-C10/$E$15)+(1-C3)*C10/$E$15</f>
        <v>0.8834976647638817</v>
      </c>
      <c r="D18">
        <f>D3*(1-D10/$E$15)+(1-D3)*D10/$E$15</f>
        <v>0.98313440581214318</v>
      </c>
      <c r="E18">
        <f>E3*(1-E10/$E$15)+(1-E3)*E10/$E$15</f>
        <v>0.94693824597820442</v>
      </c>
    </row>
    <row r="19" spans="1:12" x14ac:dyDescent="0.35">
      <c r="B19">
        <f>B4*(1-B11/$E$15)+(1-B4)*B11/$E$15</f>
        <v>9.5874416190970424E-2</v>
      </c>
      <c r="C19" t="s">
        <v>6</v>
      </c>
      <c r="D19">
        <f>D4*(1-D11/$E$15)+(1-D4)*D11/$E$15</f>
        <v>0.10378827192527244</v>
      </c>
      <c r="E19">
        <f>E4*(1-E11/$E$15)+(1-E4)*E11/$E$15</f>
        <v>0.10871821484172288</v>
      </c>
    </row>
    <row r="20" spans="1:12" x14ac:dyDescent="0.35">
      <c r="B20">
        <f t="shared" ref="B20:B21" si="1">B5*(1-B12/$E$15)+(1-B5)*B12/$E$15</f>
        <v>5.35374502681197E-2</v>
      </c>
      <c r="C20">
        <f t="shared" ref="C19:E21" si="2">C5*(1-C12/$E$15)+(1-C5)*C12/$E$15</f>
        <v>0.88976820619270025</v>
      </c>
      <c r="D20" t="s">
        <v>6</v>
      </c>
      <c r="E20">
        <f t="shared" si="2"/>
        <v>0.92518595398719949</v>
      </c>
    </row>
    <row r="21" spans="1:12" x14ac:dyDescent="0.35">
      <c r="B21">
        <f t="shared" si="1"/>
        <v>6.2964884967998611E-2</v>
      </c>
      <c r="C21">
        <f t="shared" si="2"/>
        <v>0.89223317765092547</v>
      </c>
      <c r="D21">
        <f t="shared" si="2"/>
        <v>9.5874416190970424E-2</v>
      </c>
      <c r="E21" t="s">
        <v>6</v>
      </c>
    </row>
    <row r="24" spans="1:12" x14ac:dyDescent="0.35">
      <c r="A24" t="s">
        <v>24</v>
      </c>
    </row>
    <row r="25" spans="1:12" x14ac:dyDescent="0.35">
      <c r="A25">
        <v>0</v>
      </c>
      <c r="B25">
        <v>1</v>
      </c>
      <c r="C25">
        <v>1</v>
      </c>
      <c r="D25">
        <v>1</v>
      </c>
      <c r="E25">
        <v>1</v>
      </c>
    </row>
    <row r="26" spans="1:12" x14ac:dyDescent="0.35">
      <c r="A26">
        <v>1</v>
      </c>
      <c r="B26">
        <f>C25*$C$18*D25*$D$18+E25*$E$18</f>
        <v>1.8155351976622593</v>
      </c>
      <c r="C26">
        <f>$B$19*B25+$D$19*D25+$E$19*E25</f>
        <v>0.30838090295796577</v>
      </c>
      <c r="D26">
        <f>$B$20*B25+$C$20*C25+$E$20*E25</f>
        <v>1.8684916104480194</v>
      </c>
      <c r="E26">
        <f>$B$21*B25+$C$21*C25+$D$21*D25</f>
        <v>1.0510724788098944</v>
      </c>
      <c r="F26">
        <f>SUM(B26:E26)</f>
        <v>5.0434801898781387</v>
      </c>
      <c r="H26">
        <f>B25-B27</f>
        <v>0.64002333124934374</v>
      </c>
      <c r="I26">
        <f t="shared" ref="I26:K26" si="3">C25-C27</f>
        <v>0.9388555340066842</v>
      </c>
      <c r="J26">
        <f t="shared" si="3"/>
        <v>0.62952335686815375</v>
      </c>
      <c r="K26">
        <f t="shared" si="3"/>
        <v>0.7915977778758182</v>
      </c>
      <c r="L26">
        <f>MAX(H26:K26)</f>
        <v>0.9388555340066842</v>
      </c>
    </row>
    <row r="27" spans="1:12" x14ac:dyDescent="0.35">
      <c r="B27">
        <f>B26/$F$26</f>
        <v>0.3599766687506562</v>
      </c>
      <c r="C27">
        <f t="shared" ref="C27:E27" si="4">C26/$F$26</f>
        <v>6.11444659933158E-2</v>
      </c>
      <c r="D27">
        <f t="shared" si="4"/>
        <v>0.37047664313184625</v>
      </c>
      <c r="E27">
        <f t="shared" si="4"/>
        <v>0.20840222212418177</v>
      </c>
      <c r="F27">
        <f>SUM(B27:E27)</f>
        <v>1</v>
      </c>
    </row>
    <row r="28" spans="1:12" x14ac:dyDescent="0.35">
      <c r="A28">
        <v>2</v>
      </c>
      <c r="B28">
        <f>C27*$C$18*D27*$D$18+E27*$E$18</f>
        <v>0.21702001095019638</v>
      </c>
      <c r="C28">
        <f>$B$19*B27+$D$19*D27+$E$19*E27</f>
        <v>9.5620801096558919E-2</v>
      </c>
      <c r="D28">
        <f>$B$20*B27+$C$20*C27+$E$20*E27</f>
        <v>0.2664874435154182</v>
      </c>
      <c r="E28">
        <f>$B$21*B27+$C$21*C27+$D$21*D27</f>
        <v>0.11274024260068977</v>
      </c>
      <c r="F28">
        <f>SUM(B28:E28)</f>
        <v>0.69186849816286333</v>
      </c>
    </row>
    <row r="29" spans="1:12" x14ac:dyDescent="0.35">
      <c r="B29">
        <f>B28/$F$28</f>
        <v>0.31367234023005142</v>
      </c>
      <c r="C29">
        <f t="shared" ref="C29:D29" si="5">C28/$F$28</f>
        <v>0.13820661202304102</v>
      </c>
      <c r="D29">
        <f t="shared" si="5"/>
        <v>0.38517065630684061</v>
      </c>
      <c r="E29">
        <f>E28/$F$28</f>
        <v>0.16295039144006687</v>
      </c>
      <c r="F29">
        <f>SUM(B29:E29)</f>
        <v>0.99999999999999989</v>
      </c>
      <c r="H29">
        <f>ABS(B27-B29)</f>
        <v>4.6304328520604787E-2</v>
      </c>
      <c r="I29">
        <f t="shared" ref="I29:K29" si="6">ABS(C27-C29)</f>
        <v>7.706214602972522E-2</v>
      </c>
      <c r="J29">
        <f t="shared" si="6"/>
        <v>1.4694013174994358E-2</v>
      </c>
      <c r="K29">
        <f t="shared" si="6"/>
        <v>4.5451830684114902E-2</v>
      </c>
      <c r="L29">
        <f>MAX(H29:K29)</f>
        <v>7.706214602972522E-2</v>
      </c>
    </row>
    <row r="30" spans="1:12" x14ac:dyDescent="0.35">
      <c r="A30">
        <v>3</v>
      </c>
      <c r="B30">
        <f>C29*$C$18*D29*$D$18+E29*$E$18</f>
        <v>0.20054209356548075</v>
      </c>
      <c r="C30">
        <f>$B$19*B29+$D$19*D29+$E$19*E29</f>
        <v>8.7765024974345685E-2</v>
      </c>
      <c r="D30">
        <f>$B$20*B29+$C$20*C29+$E$20*E29</f>
        <v>0.29052447993632868</v>
      </c>
      <c r="E30">
        <f>$B$21*B29+$C$21*C29+$D$21*D29</f>
        <v>0.17999087924522586</v>
      </c>
      <c r="F30">
        <f>SUM(B30:E30)</f>
        <v>0.75882247772138101</v>
      </c>
    </row>
    <row r="31" spans="1:12" x14ac:dyDescent="0.35">
      <c r="B31">
        <f>B30/$F$30</f>
        <v>0.26428064462148732</v>
      </c>
      <c r="C31">
        <f t="shared" ref="C31:E31" si="7">C30/$F$30</f>
        <v>0.11565949553562199</v>
      </c>
      <c r="D31">
        <f t="shared" si="7"/>
        <v>0.3828622483729342</v>
      </c>
      <c r="E31">
        <f t="shared" si="7"/>
        <v>0.23719761146995652</v>
      </c>
      <c r="F31">
        <f>SUM(B31:E31)</f>
        <v>1</v>
      </c>
      <c r="H31">
        <f>ABS(B29-B31)</f>
        <v>4.9391695608564101E-2</v>
      </c>
      <c r="I31">
        <f t="shared" ref="I31:K31" si="8">ABS(C29-C31)</f>
        <v>2.2547116487419028E-2</v>
      </c>
      <c r="J31">
        <f t="shared" si="8"/>
        <v>2.308407933906409E-3</v>
      </c>
      <c r="K31">
        <f t="shared" si="8"/>
        <v>7.4247220029889649E-2</v>
      </c>
      <c r="L31">
        <f>MAX(H31:K31)</f>
        <v>7.4247220029889649E-2</v>
      </c>
    </row>
    <row r="32" spans="1:12" x14ac:dyDescent="0.35">
      <c r="A32">
        <v>4</v>
      </c>
      <c r="B32">
        <f>C31*$C$18*D31*$D$18+E31*$E$18</f>
        <v>0.26307440027540707</v>
      </c>
      <c r="C32">
        <f>$B$19*B31+$D$19*D31+$E$19*E31</f>
        <v>9.0862064541443965E-2</v>
      </c>
      <c r="D32">
        <f>$B$20*B31+$C$20*C31+$E$20*E31</f>
        <v>0.33651095219144933</v>
      </c>
      <c r="E32">
        <f>$B$21*B31+$C$21*C31+$D$21*D31</f>
        <v>0.15654233415942886</v>
      </c>
      <c r="F32">
        <f>SUM(B32:E32)</f>
        <v>0.84698975116772923</v>
      </c>
    </row>
    <row r="33" spans="1:13" x14ac:dyDescent="0.35">
      <c r="B33">
        <f>B32/$F$32</f>
        <v>0.31059927220218569</v>
      </c>
      <c r="C33">
        <f t="shared" ref="C33:E33" si="9">C32/$F$32</f>
        <v>0.10727646280982044</v>
      </c>
      <c r="D33">
        <f t="shared" si="9"/>
        <v>0.3973022716361182</v>
      </c>
      <c r="E33">
        <f t="shared" si="9"/>
        <v>0.18482199335187566</v>
      </c>
      <c r="F33">
        <f>SUM(B33:E33)</f>
        <v>1</v>
      </c>
      <c r="H33">
        <f>ABS(B31-B33)</f>
        <v>4.6318627580698379E-2</v>
      </c>
      <c r="I33">
        <f t="shared" ref="I33" si="10">ABS(C31-C33)</f>
        <v>8.3830327258015563E-3</v>
      </c>
      <c r="J33">
        <f t="shared" ref="J33" si="11">ABS(D31-D33)</f>
        <v>1.4440023263183999E-2</v>
      </c>
      <c r="K33">
        <f t="shared" ref="K33" si="12">ABS(E31-E33)</f>
        <v>5.2375618118080863E-2</v>
      </c>
      <c r="L33">
        <f>MAX(H33:K33)</f>
        <v>5.2375618118080863E-2</v>
      </c>
    </row>
    <row r="34" spans="1:13" x14ac:dyDescent="0.35">
      <c r="A34">
        <v>5</v>
      </c>
      <c r="B34">
        <f>C33*$C$18*D33*$D$18+E33*$E$18</f>
        <v>0.21203564328433969</v>
      </c>
      <c r="C34">
        <f>$B$19*B33+$D$19*D33+$E$19*E33</f>
        <v>9.1107357277527445E-2</v>
      </c>
      <c r="D34">
        <f>$B$20*B33+$C$20*C33+$E$20*E33</f>
        <v>0.28307459120690143</v>
      </c>
      <c r="E34">
        <f>$B$21*B33+$C$21*C33+$D$21*D33</f>
        <v>0.15336359008977132</v>
      </c>
      <c r="F34">
        <f>SUM(B34:E34)</f>
        <v>0.73958118185853994</v>
      </c>
    </row>
    <row r="35" spans="1:13" x14ac:dyDescent="0.35">
      <c r="B35">
        <f>B34/$F$34</f>
        <v>0.28669691507226025</v>
      </c>
      <c r="C35">
        <f t="shared" ref="C35:E35" si="13">C34/$F$34</f>
        <v>0.12318777101464108</v>
      </c>
      <c r="D35">
        <f t="shared" si="13"/>
        <v>0.38274985647355919</v>
      </c>
      <c r="E35">
        <f t="shared" si="13"/>
        <v>0.20736545743953941</v>
      </c>
      <c r="F35">
        <f>SUM(B35:E35)</f>
        <v>0.99999999999999989</v>
      </c>
      <c r="H35">
        <f>ABS(B33-B35)</f>
        <v>2.3902357129925444E-2</v>
      </c>
      <c r="I35">
        <f t="shared" ref="I35" si="14">ABS(C33-C35)</f>
        <v>1.5911308204820646E-2</v>
      </c>
      <c r="J35">
        <f t="shared" ref="J35" si="15">ABS(D33-D35)</f>
        <v>1.4552415162559007E-2</v>
      </c>
      <c r="K35">
        <f t="shared" ref="K35" si="16">ABS(E33-E35)</f>
        <v>2.254346408766375E-2</v>
      </c>
      <c r="L35">
        <f>MAX(H35:K35)</f>
        <v>2.3902357129925444E-2</v>
      </c>
    </row>
    <row r="36" spans="1:13" x14ac:dyDescent="0.35">
      <c r="A36">
        <v>6</v>
      </c>
      <c r="B36">
        <f>C35*$C$18*D35*$D$18+E35*$E$18</f>
        <v>0.23731671713089533</v>
      </c>
      <c r="C36">
        <f>$B$19*B35+$D$19*D35+$E$19*E35</f>
        <v>8.9756247892005939E-2</v>
      </c>
      <c r="D36">
        <f>$B$20*B35+$C$20*C35+$E$20*E35</f>
        <v>0.31680919243847105</v>
      </c>
      <c r="E36">
        <f>$B$21*B35+$C$21*C35+$D$21*D35</f>
        <v>0.16465997369491292</v>
      </c>
      <c r="F36">
        <f>SUM(B36:E36)</f>
        <v>0.80854213115628526</v>
      </c>
    </row>
    <row r="37" spans="1:13" x14ac:dyDescent="0.35">
      <c r="B37">
        <f>B36/$F$36</f>
        <v>0.29351187524577338</v>
      </c>
      <c r="C37">
        <f t="shared" ref="C37:E37" si="17">C36/$F$36</f>
        <v>0.11100998257647593</v>
      </c>
      <c r="D37">
        <f t="shared" si="17"/>
        <v>0.39182768619046043</v>
      </c>
      <c r="E37">
        <f t="shared" si="17"/>
        <v>0.20365045598729023</v>
      </c>
      <c r="F37">
        <f>SUM(B37:E37)</f>
        <v>1</v>
      </c>
      <c r="H37">
        <f>ABS(B35-B37)</f>
        <v>6.8149601735131293E-3</v>
      </c>
      <c r="I37">
        <f t="shared" ref="I37" si="18">ABS(C35-C37)</f>
        <v>1.2177788438165152E-2</v>
      </c>
      <c r="J37">
        <f t="shared" ref="J37" si="19">ABS(D35-D37)</f>
        <v>9.0778297169012423E-3</v>
      </c>
      <c r="K37">
        <f t="shared" ref="K37" si="20">ABS(E35-E37)</f>
        <v>3.7150014522491781E-3</v>
      </c>
      <c r="L37">
        <f>MAX(H37:K37)</f>
        <v>1.2177788438165152E-2</v>
      </c>
    </row>
    <row r="38" spans="1:13" x14ac:dyDescent="0.35">
      <c r="A38">
        <v>7</v>
      </c>
      <c r="B38">
        <f>C37*$C$18*D37*$D$18+E37*$E$18</f>
        <v>0.23062558011163625</v>
      </c>
      <c r="C38">
        <f>$B$19*B37+$D$19*D37+$E$19*E37</f>
        <v>9.0947912153132346E-2</v>
      </c>
      <c r="D38">
        <f>$B$20*B37+$C$20*C37+$E$20*E37</f>
        <v>0.30290157189315636</v>
      </c>
      <c r="E38">
        <f>$B$21*B37+$C$21*C37+$D$21*D37</f>
        <v>0.15509398162774382</v>
      </c>
      <c r="F38">
        <f>SUM(B38:E38)</f>
        <v>0.77956904578566877</v>
      </c>
    </row>
    <row r="39" spans="1:13" x14ac:dyDescent="0.35">
      <c r="B39">
        <f>B38/$F$38</f>
        <v>0.29583727234732127</v>
      </c>
      <c r="C39">
        <f t="shared" ref="C39:E39" si="21">C38/$F$38</f>
        <v>0.11666434505679073</v>
      </c>
      <c r="D39">
        <f t="shared" si="21"/>
        <v>0.38855002456887544</v>
      </c>
      <c r="E39">
        <f t="shared" si="21"/>
        <v>0.19894835802701261</v>
      </c>
      <c r="F39">
        <f>SUM(B39:E39)</f>
        <v>1</v>
      </c>
      <c r="H39">
        <f>ABS(B37-B39)</f>
        <v>2.325397101547888E-3</v>
      </c>
      <c r="I39">
        <f t="shared" ref="I39" si="22">ABS(C37-C39)</f>
        <v>5.6543624803147979E-3</v>
      </c>
      <c r="J39">
        <f t="shared" ref="J39" si="23">ABS(D37-D39)</f>
        <v>3.277661621584993E-3</v>
      </c>
      <c r="K39">
        <f t="shared" ref="K39" si="24">ABS(E37-E39)</f>
        <v>4.7020979602776236E-3</v>
      </c>
      <c r="L39">
        <f>MAX(H39:K39)</f>
        <v>5.6543624803147979E-3</v>
      </c>
    </row>
    <row r="40" spans="1:13" x14ac:dyDescent="0.35">
      <c r="A40">
        <v>8</v>
      </c>
      <c r="B40">
        <f>C39*$C$18*D39*$D$18+E39*$E$18</f>
        <v>0.22776525180275994</v>
      </c>
      <c r="C40">
        <f>$B$19*B39+$D$19*D39+$E$19*E39</f>
        <v>9.0319471710743032E-2</v>
      </c>
      <c r="D40">
        <f>$B$20*B39+$C$20*C39+$E$20*E39</f>
        <v>0.30370682469898636</v>
      </c>
      <c r="E40">
        <f>$B$21*B39+$C$21*C39+$D$21*D39</f>
        <v>0.15997116589770816</v>
      </c>
      <c r="F40">
        <f>SUM(B40:E40)</f>
        <v>0.78176271411019749</v>
      </c>
    </row>
    <row r="41" spans="1:13" x14ac:dyDescent="0.35">
      <c r="B41">
        <f>B40/$F$40</f>
        <v>0.29134831796372179</v>
      </c>
      <c r="C41">
        <f t="shared" ref="C41:E41" si="25">C40/$F$40</f>
        <v>0.1155331024114455</v>
      </c>
      <c r="D41">
        <f t="shared" si="25"/>
        <v>0.38848977984920341</v>
      </c>
      <c r="E41">
        <f t="shared" si="25"/>
        <v>0.20462879977562934</v>
      </c>
      <c r="F41">
        <f>SUM(B41:E41)</f>
        <v>1</v>
      </c>
      <c r="H41">
        <f>ABS(B39-B41)</f>
        <v>4.488954383599475E-3</v>
      </c>
      <c r="I41">
        <f t="shared" ref="I41" si="26">ABS(C39-C41)</f>
        <v>1.1312426453452262E-3</v>
      </c>
      <c r="J41">
        <f t="shared" ref="J41" si="27">ABS(D39-D41)</f>
        <v>6.0244719672031266E-5</v>
      </c>
      <c r="K41">
        <f t="shared" ref="K41" si="28">ABS(E39-E41)</f>
        <v>5.6804417486167325E-3</v>
      </c>
      <c r="L41">
        <f>MAX(H41:K41)</f>
        <v>5.6804417486167325E-3</v>
      </c>
    </row>
    <row r="42" spans="1:13" x14ac:dyDescent="0.35">
      <c r="A42">
        <v>9</v>
      </c>
      <c r="B42">
        <f>C41*$C$18*D41*$D$18+E41*$E$18</f>
        <v>0.2327564467993288</v>
      </c>
      <c r="C42">
        <f>$B$19*B41+$D$19*D41+$E$19*E41</f>
        <v>9.0500410620982172E-2</v>
      </c>
      <c r="D42">
        <f>$B$20*B41+$C$20*C41+$E$20*E41</f>
        <v>0.30771541870586372</v>
      </c>
      <c r="E42">
        <f>$B$21*B41+$C$21*C41+$D$21*D41</f>
        <v>0.15867341125384044</v>
      </c>
      <c r="F42">
        <f>SUM(B42:E42)</f>
        <v>0.78964568738001506</v>
      </c>
    </row>
    <row r="43" spans="1:13" x14ac:dyDescent="0.35">
      <c r="B43">
        <f>B42/$F$42</f>
        <v>0.29476061291691108</v>
      </c>
      <c r="C43">
        <f t="shared" ref="C43:E43" si="29">C42/$F$42</f>
        <v>0.11460888353769869</v>
      </c>
      <c r="D43">
        <f t="shared" si="29"/>
        <v>0.3896879621122738</v>
      </c>
      <c r="E43">
        <f t="shared" si="29"/>
        <v>0.20094254143311649</v>
      </c>
      <c r="F43">
        <f>SUM(B43:E43)</f>
        <v>1</v>
      </c>
      <c r="H43">
        <f>ABS(B41-B43)</f>
        <v>3.4122949531892877E-3</v>
      </c>
      <c r="I43">
        <f t="shared" ref="I43" si="30">ABS(C41-C43)</f>
        <v>9.2421887374681544E-4</v>
      </c>
      <c r="J43">
        <f t="shared" ref="J43" si="31">ABS(D41-D43)</f>
        <v>1.1981822630703909E-3</v>
      </c>
      <c r="K43">
        <f t="shared" ref="K43" si="32">ABS(E41-E43)</f>
        <v>3.6862583425128492E-3</v>
      </c>
      <c r="L43">
        <f>MAX(H43:K43)</f>
        <v>3.6862583425128492E-3</v>
      </c>
    </row>
    <row r="44" spans="1:13" x14ac:dyDescent="0.35">
      <c r="A44">
        <v>10</v>
      </c>
      <c r="B44">
        <f>C43*$C$18*D43*$D$18+E43*$E$18</f>
        <v>0.22907319617214555</v>
      </c>
      <c r="C44">
        <f>$B$19*B43+$D$19*D43+$E$19*E43</f>
        <v>9.0551156247582767E-2</v>
      </c>
      <c r="D44">
        <f>$B$20*B43+$C$20*C43+$E$20*E43</f>
        <v>0.30366528926653613</v>
      </c>
      <c r="E44">
        <f>$B$21*B43+$C$21*C43+$D$21*D43</f>
        <v>0.15817852229543905</v>
      </c>
      <c r="F44">
        <f>SUM(B44:E44)</f>
        <v>0.78146816398170349</v>
      </c>
    </row>
    <row r="45" spans="1:13" x14ac:dyDescent="0.35">
      <c r="B45">
        <f>B44/$F$44</f>
        <v>0.29313183406599896</v>
      </c>
      <c r="C45">
        <f t="shared" ref="C45:E45" si="33">C44/$F$44</f>
        <v>0.11587312243944826</v>
      </c>
      <c r="D45">
        <f t="shared" si="33"/>
        <v>0.38858305848227215</v>
      </c>
      <c r="E45">
        <f t="shared" si="33"/>
        <v>0.20241198501228067</v>
      </c>
      <c r="F45">
        <f>SUM(B45:E45)</f>
        <v>1</v>
      </c>
      <c r="H45">
        <f>ABS(B43-B45)</f>
        <v>1.6287788509121159E-3</v>
      </c>
      <c r="I45">
        <f t="shared" ref="I45" si="34">ABS(C43-C45)</f>
        <v>1.2642389017495786E-3</v>
      </c>
      <c r="J45">
        <f t="shared" ref="J45" si="35">ABS(D43-D45)</f>
        <v>1.1049036300016524E-3</v>
      </c>
      <c r="K45">
        <f t="shared" ref="K45" si="36">ABS(E43-E45)</f>
        <v>1.4694435791641758E-3</v>
      </c>
      <c r="L45">
        <f>MAX(H45:K45)</f>
        <v>1.6287788509121159E-3</v>
      </c>
    </row>
    <row r="46" spans="1:13" x14ac:dyDescent="0.35">
      <c r="A46">
        <v>11</v>
      </c>
      <c r="B46">
        <f>C45*$C$18*D45*$D$18+E45*$E$18</f>
        <v>0.23078138504543821</v>
      </c>
      <c r="C46">
        <f>$B$19*B45+$D$19*D45+$E$19*E45</f>
        <v>9.0440077270482894E-2</v>
      </c>
      <c r="D46">
        <f>$B$20*B45+$C$20*C45+$E$20*E45</f>
        <v>0.30606247673923576</v>
      </c>
      <c r="E46">
        <f>$B$21*B45+$C$21*C45+$D$21*D45</f>
        <v>0.15909803032459732</v>
      </c>
      <c r="F46">
        <f>SUM(B46:E46)</f>
        <v>0.78638196937975413</v>
      </c>
    </row>
    <row r="47" spans="1:13" x14ac:dyDescent="0.35">
      <c r="B47">
        <f>B46/$F$46</f>
        <v>0.29347237606104226</v>
      </c>
      <c r="C47">
        <f t="shared" ref="C47:E47" si="37">C46/$F$46</f>
        <v>0.11500782163382513</v>
      </c>
      <c r="D47">
        <f t="shared" si="37"/>
        <v>0.38920332441070277</v>
      </c>
      <c r="E47">
        <f t="shared" si="37"/>
        <v>0.20231647789442997</v>
      </c>
      <c r="F47">
        <f>SUM(B47:E47)</f>
        <v>1</v>
      </c>
      <c r="H47">
        <f>ABS(B45-B47)</f>
        <v>3.4054199504329752E-4</v>
      </c>
      <c r="I47">
        <f t="shared" ref="I47" si="38">ABS(C45-C47)</f>
        <v>8.6530080562313705E-4</v>
      </c>
      <c r="J47">
        <f t="shared" ref="J47" si="39">ABS(D45-D47)</f>
        <v>6.202659284306189E-4</v>
      </c>
      <c r="K47">
        <f t="shared" ref="K47" si="40">ABS(E45-E47)</f>
        <v>9.5507117850696099E-5</v>
      </c>
      <c r="L47">
        <f>MAX(H47:K47)</f>
        <v>8.6530080562313705E-4</v>
      </c>
      <c r="M47" t="s">
        <v>25</v>
      </c>
    </row>
    <row r="50" spans="1:6" x14ac:dyDescent="0.35">
      <c r="A50" t="s">
        <v>27</v>
      </c>
    </row>
    <row r="51" spans="1:6" x14ac:dyDescent="0.35">
      <c r="B51" t="s">
        <v>2</v>
      </c>
      <c r="C51">
        <f>100*B47</f>
        <v>29.347237606104226</v>
      </c>
      <c r="E51" t="s">
        <v>4</v>
      </c>
      <c r="F51">
        <v>38.920332441070279</v>
      </c>
    </row>
    <row r="52" spans="1:6" x14ac:dyDescent="0.35">
      <c r="B52" t="s">
        <v>3</v>
      </c>
      <c r="C52">
        <f>100*C47</f>
        <v>11.500782163382512</v>
      </c>
      <c r="E52" t="s">
        <v>2</v>
      </c>
      <c r="F52">
        <v>29.347237606104226</v>
      </c>
    </row>
    <row r="53" spans="1:6" x14ac:dyDescent="0.35">
      <c r="B53" t="s">
        <v>4</v>
      </c>
      <c r="C53">
        <f>100*D47</f>
        <v>38.920332441070279</v>
      </c>
      <c r="E53" t="s">
        <v>5</v>
      </c>
      <c r="F53">
        <v>20.231647789442995</v>
      </c>
    </row>
    <row r="54" spans="1:6" x14ac:dyDescent="0.35">
      <c r="B54" t="s">
        <v>5</v>
      </c>
      <c r="C54">
        <f>100*E47</f>
        <v>20.231647789442995</v>
      </c>
      <c r="E54" t="s">
        <v>3</v>
      </c>
      <c r="F54">
        <v>11.500782163382512</v>
      </c>
    </row>
    <row r="56" spans="1:6" x14ac:dyDescent="0.35">
      <c r="A56" t="s">
        <v>28</v>
      </c>
      <c r="E56">
        <f>V4*100</f>
        <v>100</v>
      </c>
      <c r="F56" t="s">
        <v>26</v>
      </c>
    </row>
    <row r="58" spans="1:6" x14ac:dyDescent="0.35">
      <c r="A58" t="s">
        <v>4</v>
      </c>
      <c r="B58">
        <v>38.920332441070279</v>
      </c>
      <c r="C58" t="s">
        <v>26</v>
      </c>
    </row>
    <row r="59" spans="1:6" x14ac:dyDescent="0.35">
      <c r="A59" t="s">
        <v>2</v>
      </c>
      <c r="B59">
        <v>29.347237606104226</v>
      </c>
      <c r="C59" t="s">
        <v>26</v>
      </c>
    </row>
    <row r="60" spans="1:6" x14ac:dyDescent="0.35">
      <c r="A60" t="s">
        <v>5</v>
      </c>
      <c r="B60">
        <v>20.231647789442995</v>
      </c>
      <c r="C60" t="s">
        <v>26</v>
      </c>
    </row>
    <row r="61" spans="1:6" x14ac:dyDescent="0.35">
      <c r="A61" t="s">
        <v>3</v>
      </c>
      <c r="B61">
        <v>11.500782163382512</v>
      </c>
      <c r="C61" t="s">
        <v>26</v>
      </c>
    </row>
  </sheetData>
  <sortState ref="E51:F54">
    <sortCondition descending="1" ref="F5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Бобылев</dc:creator>
  <cp:lastModifiedBy>Вадим Бобылев</cp:lastModifiedBy>
  <dcterms:created xsi:type="dcterms:W3CDTF">2026-08-20T02:12:38Z</dcterms:created>
  <dcterms:modified xsi:type="dcterms:W3CDTF">2026-08-20T03:48:33Z</dcterms:modified>
</cp:coreProperties>
</file>